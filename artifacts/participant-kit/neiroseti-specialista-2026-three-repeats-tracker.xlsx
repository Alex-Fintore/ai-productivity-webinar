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218be2489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рт" sheetId="1" r:id="R7c20e7cbca1d4987"/>
    <x:sheet xmlns:r="http://schemas.openxmlformats.org/officeDocument/2006/relationships" name="Повторы" sheetId="2" r:id="Rfb65cd9ff4f1482d"/>
    <x:sheet xmlns:r="http://schemas.openxmlformats.org/officeDocument/2006/relationships" name="Итог" sheetId="3" r:id="Ra8a57e733bec4573"/>
    <x:sheet xmlns:r="http://schemas.openxmlformats.org/officeDocument/2006/relationships" name="Карточки" sheetId="4" r:id="R5ddcbae57eb5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%"/>
    <x:numFmt numFmtId="203" formatCode="0.0"/>
  </x:numFmts>
  <x:fonts count="5">
    <x:font>
      <x:sz val="11"/>
      <x:name val="Carlito"/>
    </x:font>
    <x:font>
      <x:b/>
      <x:sz val="17"/>
      <x:color rgb="FFFFFFFF"/>
      <x:name val="Carlito"/>
    </x:font>
    <x:font>
      <x:sz val="10"/>
      <x:color rgb="FF1D2625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C3A"/>
      </x:patternFill>
    </x:fill>
    <x:fill>
      <x:patternFill patternType="solid">
        <x:fgColor rgb="FFF6F1E7"/>
      </x:patternFill>
    </x:fill>
    <x:fill>
      <x:patternFill patternType="solid">
        <x:fgColor rgb="FFE7663E"/>
      </x:patternFill>
    </x:fill>
    <x:fill>
      <x:patternFill patternType="solid">
        <x:fgColor rgb="FFE5EAE6"/>
      </x:patternFill>
    </x:fill>
    <x:fill>
      <x:patternFill patternType="solid">
        <x:fgColor rgb="FFFFFFFF"/>
      </x:patternFill>
    </x:fill>
    <x:fill>
      <x:patternFill patternType="solid">
        <x:fgColor rgb="FFF8E5DE"/>
      </x:patternFill>
    </x:fill>
  </x:fills>
  <x:borders count="11">
    <x:border/>
    <x:border>
      <x:left style="thin">
        <x:color rgb="FFD8DED9"/>
      </x:left>
      <x:top style="thin">
        <x:color rgb="FFD8DED9"/>
      </x:top>
    </x:border>
    <x:border>
      <x:top style="thin">
        <x:color rgb="FFD8DED9"/>
      </x:top>
    </x:border>
    <x:border>
      <x:right style="thin">
        <x:color rgb="FFD8DED9"/>
      </x:right>
      <x:top style="thin">
        <x:color rgb="FFD8DED9"/>
      </x:top>
    </x:border>
    <x:border>
      <x:left style="thin">
        <x:color rgb="FFD8DED9"/>
      </x:left>
      <x:bottom style="thin">
        <x:color rgb="FFD8DED9"/>
      </x:bottom>
    </x:border>
    <x:border>
      <x:bottom style="thin">
        <x:color rgb="FFD8DED9"/>
      </x:bottom>
    </x:border>
    <x:border>
      <x:right style="thin">
        <x:color rgb="FFD8DED9"/>
      </x:right>
      <x:bottom style="thin">
        <x:color rgb="FFD8DED9"/>
      </x:bottom>
    </x:border>
    <x:border>
      <x:left style="thin">
        <x:color rgb="FFD8DED9"/>
      </x:left>
      <x:top style="thin">
        <x:color rgb="FFD8DED9"/>
      </x:top>
      <x:bottom style="thin">
        <x:color rgb="FFD8DED9"/>
      </x:bottom>
    </x:border>
    <x:border>
      <x:top style="thin">
        <x:color rgb="FFD8DED9"/>
      </x:top>
      <x:bottom style="thin">
        <x:color rgb="FFD8DED9"/>
      </x:bottom>
    </x:border>
    <x:border>
      <x:right style="thin">
        <x:color rgb="FFD8DED9"/>
      </x:right>
      <x:top style="thin">
        <x:color rgb="FFD8DED9"/>
      </x:top>
      <x:bottom style="thin">
        <x:color rgb="FFD8DED9"/>
      </x:bottom>
    </x:border>
    <x:border>
      <x:left style="thin">
        <x:color rgb="FFD8DED9"/>
      </x:left>
      <x:right style="thin">
        <x:color rgb="FFD8DED9"/>
      </x:right>
      <x:top style="thin">
        <x:color rgb="FFD8DED9"/>
      </x:top>
      <x:bottom style="thin">
        <x:color rgb="FFD8DED9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0" xfId="0" applyNumberFormat="1" applyFont="1" applyFill="1" applyBorder="1"/>
    <x:xf numFmtId="0" fontId="2" fillId="5" borderId="10" xfId="0" applyNumberFormat="1" applyFont="1" applyFill="1" applyBorder="1" applyAlignment="1">
      <x:alignment vertical="top"/>
    </x:xf>
    <x:xf numFmtId="0" fontId="2" fillId="5" borderId="1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0" xfId="0" applyNumberFormat="1" applyFont="1" applyFill="1" applyBorder="1"/>
    <x:xf numFmtId="0" fontId="4" fillId="2" borderId="10" xfId="0" applyNumberFormat="1" applyFont="1" applyFill="1" applyBorder="1" applyAlignment="1">
      <x:alignment wrapText="1"/>
    </x:xf>
    <x:xf numFmtId="0" fontId="4" fillId="2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0" xfId="0" applyNumberFormat="1" applyFont="1" applyFill="1" applyBorder="1"/>
    <x:xf numFmtId="0" fontId="2" fillId="6" borderId="10" xfId="0" applyNumberFormat="1" applyFont="1" applyFill="1" applyBorder="1" applyAlignment="1">
      <x:alignment vertical="top"/>
    </x:xf>
    <x:xf numFmtId="0" fontId="2" fillId="6" borderId="10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/>
    <x:xf numFmtId="0" fontId="2" fillId="3" borderId="10" xfId="0" applyNumberFormat="1" applyFont="1" applyFill="1" applyBorder="1" applyAlignment="1">
      <x:alignment vertical="top"/>
    </x:xf>
    <x:xf numFmtId="0" fontId="2" fillId="3" borderId="10" xfId="0" applyNumberFormat="1" applyFont="1" applyFill="1" applyBorder="1" applyAlignment="1">
      <x:alignment vertical="top" wrapText="1"/>
    </x:xf>
    <x:xf numFmtId="0" fontId="2" fillId="7" borderId="10" xfId="0" applyNumberFormat="1" applyFont="1" applyFill="1" applyBorder="1" applyAlignment="1">
      <x:alignment vertical="top"/>
    </x:xf>
    <x:xf numFmtId="200" fontId="2" fillId="5" borderId="10" xfId="0" applyNumberFormat="1" applyFont="1" applyFill="1" applyBorder="1" applyAlignment="1">
      <x:alignment vertical="top"/>
    </x:xf>
    <x:xf numFmtId="200" fontId="2" fillId="3" borderId="10" xfId="0" applyNumberFormat="1" applyFont="1" applyFill="1" applyBorder="1" applyAlignment="1">
      <x:alignment vertical="top"/>
    </x:xf>
    <x:xf numFmtId="200" fontId="2" fillId="7" borderId="10" xfId="0" applyNumberFormat="1" applyFont="1" applyFill="1" applyBorder="1" applyAlignment="1">
      <x:alignment vertical="top"/>
    </x:xf>
    <x:xf numFmtId="201" fontId="2" fillId="5" borderId="10" xfId="0" applyNumberFormat="1" applyFont="1" applyFill="1" applyBorder="1" applyAlignment="1">
      <x:alignment vertical="top"/>
    </x:xf>
    <x:xf numFmtId="201" fontId="2" fillId="3" borderId="10" xfId="0" applyNumberFormat="1" applyFont="1" applyFill="1" applyBorder="1" applyAlignment="1">
      <x:alignment vertical="top"/>
    </x:xf>
    <x:xf numFmtId="201" fontId="2" fillId="7" borderId="10" xfId="0" applyNumberFormat="1" applyFont="1" applyFill="1" applyBorder="1" applyAlignment="1">
      <x:alignment vertical="top"/>
    </x:xf>
    <x:xf numFmtId="202" fontId="2" fillId="5" borderId="10" xfId="0" applyNumberFormat="1" applyFont="1" applyFill="1" applyBorder="1" applyAlignment="1">
      <x:alignment vertical="top"/>
    </x:xf>
    <x:xf numFmtId="202" fontId="2" fillId="3" borderId="10" xfId="0" applyNumberFormat="1" applyFont="1" applyFill="1" applyBorder="1" applyAlignment="1">
      <x:alignment vertical="top"/>
    </x:xf>
    <x:xf numFmtId="202" fontId="2" fillId="7" borderId="10" xfId="0" applyNumberFormat="1" applyFont="1" applyFill="1" applyBorder="1" applyAlignment="1">
      <x:alignment vertical="top"/>
    </x:xf>
    <x:xf numFmtId="0" fontId="2" fillId="7" borderId="10" xfId="0" applyNumberFormat="1" applyFont="1" applyFill="1" applyBorder="1" applyAlignment="1">
      <x:alignment vertical="top" wrapText="1"/>
    </x:xf>
    <x:xf numFmtId="203" fontId="2" fillId="3" borderId="10" xfId="0" applyNumberFormat="1" applyFont="1" applyFill="1" applyBorder="1" applyAlignment="1">
      <x:alignment vertical="top"/>
    </x:xf>
    <x:xf numFmtId="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c993888c74afb" /><Relationship Type="http://schemas.openxmlformats.org/officeDocument/2006/relationships/theme" Target="/xl/theme/theme1.xml" Id="R6db151f6b2aa4c24" /><Relationship Type="http://schemas.openxmlformats.org/officeDocument/2006/relationships/sharedStrings" Target="/xl/sharedStrings.xml" Id="R38d3e52856a6417c" /><Relationship Type="http://schemas.openxmlformats.org/officeDocument/2006/relationships/worksheet" Target="/xl/worksheets/sheet1.xml" Id="R7c20e7cbca1d4987" /><Relationship Type="http://schemas.openxmlformats.org/officeDocument/2006/relationships/worksheet" Target="/xl/worksheets/sheet2.xml" Id="Rfb65cd9ff4f1482d" /><Relationship Type="http://schemas.openxmlformats.org/officeDocument/2006/relationships/worksheet" Target="/xl/worksheets/sheet3.xml" Id="Ra8a57e733bec4573" /><Relationship Type="http://schemas.openxmlformats.org/officeDocument/2006/relationships/worksheet" Target="/xl/worksheets/sheet4.xml" Id="R5ddcbae57eb54497" /></Relationships>
</file>

<file path=xl/tables/table1.xml><?xml version="1.0" encoding="utf-8"?>
<x:table xmlns:x="http://schemas.openxmlformats.org/spreadsheetml/2006/main" id="1" name="CandidateTasks" displayName="CandidateTasks" ref="A11:H16" headerRowCount="1" totalsRowCount="0" totalsRowShown="0">
  <x:autoFilter ref="A11:H16"/>
  <x:tableColumns count="8">
    <x:tableColumn id="1" name="№"/>
    <x:tableColumn id="2" name="Повторяемая задача"/>
    <x:tableColumn id="3" name="Раз / месяц"/>
    <x:tableColumn id="4" name="Полный цикл, мин"/>
    <x:tableColumn id="5" name="Цифровой вход?"/>
    <x:tableColumn id="6" name="Результат проверяем?"/>
    <x:tableColumn id="7" name="Цена ошибки"/>
    <x:tableColumn id="8" name="Решение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RepeatLog" displayName="RepeatLog" ref="A4:N13" headerRowCount="1" totalsRowCount="0" totalsRowShown="0">
  <x:autoFilter ref="A4:N13"/>
  <x:tableColumns count="14">
    <x:tableColumn id="1" name="Сценарий"/>
    <x:tableColumn id="2" name="Повтор"/>
    <x:tableColumn id="3" name="Дата"/>
    <x:tableColumn id="4" name="Пример / вход"/>
    <x:tableColumn id="5" name="Исходное время, мин"/>
    <x:tableColumn id="6" name="С ИИ + проверка, мин"/>
    <x:tableColumn id="7" name="Разница, мин"/>
    <x:tableColumn id="8" name="Изменение, %"/>
    <x:tableColumn id="9" name="Ручная правка, 1–5"/>
    <x:tableColumn id="10" name="Серьёзные ошибки, 0–5"/>
    <x:tableColumn id="11" name="Полезность, 1–5"/>
    <x:tableColumn id="12" name="Что изменили в брифе"/>
    <x:tableColumn id="13" name="Решение"/>
    <x:tableColumn id="14" name="Комментарий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ScenarioSummary" displayName="ScenarioSummary" ref="A4:L7" headerRowCount="1" totalsRowCount="0" totalsRowShown="0">
  <x:autoFilter ref="A4:L7"/>
  <x:tableColumns count="12">
    <x:tableColumn id="1" name="Сценарий"/>
    <x:tableColumn id="2" name="Повторов"/>
    <x:tableColumn id="3" name="Исходное время, мин"/>
    <x:tableColumn id="4" name="Среднее с ИИ, мин"/>
    <x:tableColumn id="5" name="Средняя разница, мин"/>
    <x:tableColumn id="6" name="Среднее изменение, %"/>
    <x:tableColumn id="7" name="Средняя правка, 1–5"/>
    <x:tableColumn id="8" name="Серьёзных ошибок"/>
    <x:tableColumn id="9" name="Средняя полезность"/>
    <x:tableColumn id="10" name="Сигнал журнала"/>
    <x:tableColumn id="11" name="Ваше решение"/>
    <x:tableColumn id="12" name="Следующий шаг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a30ff3336a43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798ed8fc624d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8f658a766a44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4" hidden="0" customWidth="1"/>
    <x:col min="3" max="3" width="14" hidden="0" customWidth="1"/>
    <x:col min="4" max="4" width="18" hidden="0" customWidth="1"/>
    <x:col min="5" max="5" width="17" hidden="0" customWidth="1"/>
    <x:col min="6" max="6" width="20" hidden="0" customWidth="1"/>
    <x:col min="7" max="7" width="19" hidden="0" customWidth="1"/>
    <x:col min="8" max="8" width="25" hidden="0" customWidth="1"/>
  </x:cols>
  <x:sheetData>
    <x:row r="1" ht="30" customHeight="1">
      <x:c r="A1" s="6" t="str">
        <x:v>Журнал трёх повторов</x:v>
      </x:c>
      <x:c r="B1" s="7"/>
      <x:c r="C1" s="7"/>
      <x:c r="D1" s="7"/>
      <x:c r="E1" s="7"/>
      <x:c r="F1" s="7"/>
      <x:c r="G1" s="7"/>
      <x:c r="H1" s="8"/>
    </x:row>
    <x:row r="2" ht="34" customHeight="1">
      <x:c r="A2" s="9" t="str">
        <x:v>Сначала выберите три безопасных повторяемых сценария. Затем фиксируйте полный цикл: работа с ИИ плюс человеческая проверка.</x:v>
      </x:c>
      <x:c r="B2" s="10"/>
      <x:c r="C2" s="10"/>
      <x:c r="D2" s="10"/>
      <x:c r="E2" s="10"/>
      <x:c r="F2" s="10"/>
      <x:c r="G2" s="10"/>
      <x:c r="H2" s="11"/>
    </x:row>
    <x:row r="4">
      <x:c r="A4" s="14" t="str">
        <x:v>Как пользоваться</x:v>
      </x:c>
      <x:c r="B4" s="15"/>
      <x:c r="C4" s="15"/>
      <x:c r="D4" s="15"/>
      <x:c r="E4" s="15"/>
      <x:c r="F4" s="15"/>
      <x:c r="G4" s="15"/>
      <x:c r="H4" s="16"/>
    </x:row>
    <x:row r="5">
      <x:c r="A5" s="20" t="str">
        <x:v>1</x:v>
      </x:c>
      <x:c r="B5" s="21" t="str">
        <x:v>Выберите повторяемую задачу с цифровым входом.</x:v>
      </x:c>
      <x:c r="C5" s="21" t="str"/>
      <x:c r="D5" s="21" t="str"/>
      <x:c r="E5" s="21" t="str"/>
      <x:c r="F5" s="21" t="str"/>
      <x:c r="G5" s="21" t="str"/>
      <x:c r="H5" s="21" t="str"/>
    </x:row>
    <x:row r="6">
      <x:c r="A6" s="20" t="str">
        <x:v>2</x:v>
      </x:c>
      <x:c r="B6" s="21" t="str">
        <x:v>Опишите проверяемый результат и безопасные границы.</x:v>
      </x:c>
      <x:c r="C6" s="21" t="str"/>
      <x:c r="D6" s="21" t="str"/>
      <x:c r="E6" s="21" t="str"/>
      <x:c r="F6" s="21" t="str"/>
      <x:c r="G6" s="21" t="str"/>
      <x:c r="H6" s="21" t="str"/>
    </x:row>
    <x:row r="7">
      <x:c r="A7" s="20" t="str">
        <x:v>3</x:v>
      </x:c>
      <x:c r="B7" s="21" t="str">
        <x:v>Для каждого сценария выполните три реальных повтора.</x:v>
      </x:c>
      <x:c r="C7" s="21" t="str"/>
      <x:c r="D7" s="21" t="str"/>
      <x:c r="E7" s="21" t="str"/>
      <x:c r="F7" s="21" t="str"/>
      <x:c r="G7" s="21" t="str"/>
      <x:c r="H7" s="21" t="str"/>
    </x:row>
    <x:row r="8">
      <x:c r="A8" s="20" t="str">
        <x:v>4</x:v>
      </x:c>
      <x:c r="B8" s="21" t="str">
        <x:v>После третьего повтора примите решение: оставить, изменить или отказаться.</x:v>
      </x:c>
      <x:c r="C8" s="21" t="str"/>
      <x:c r="D8" s="21" t="str"/>
      <x:c r="E8" s="21" t="str"/>
      <x:c r="F8" s="21" t="str"/>
      <x:c r="G8" s="21" t="str"/>
      <x:c r="H8" s="21" t="str"/>
    </x:row>
    <x:row r="10">
      <x:c r="A10" s="14" t="str">
        <x:v>Кандидаты на тест</x:v>
      </x:c>
      <x:c r="B10" s="15"/>
      <x:c r="C10" s="15"/>
      <x:c r="D10" s="15"/>
      <x:c r="E10" s="15"/>
      <x:c r="F10" s="15"/>
      <x:c r="G10" s="15"/>
      <x:c r="H10" s="16"/>
    </x:row>
    <x:row r="11">
      <x:c r="A11" s="25" t="str">
        <x:v>№</x:v>
      </x:c>
      <x:c r="B11" s="25" t="str">
        <x:v>Повторяемая задача</x:v>
      </x:c>
      <x:c r="C11" s="25" t="str">
        <x:v>Раз / месяц</x:v>
      </x:c>
      <x:c r="D11" s="25" t="str">
        <x:v>Полный цикл, мин</x:v>
      </x:c>
      <x:c r="E11" s="25" t="str">
        <x:v>Цифровой вход?</x:v>
      </x:c>
      <x:c r="F11" s="25" t="str">
        <x:v>Результат проверяем?</x:v>
      </x:c>
      <x:c r="G11" s="25" t="str">
        <x:v>Цена ошибки</x:v>
      </x:c>
      <x:c r="H11" s="25" t="str">
        <x:v>Решение</x:v>
      </x:c>
    </x:row>
    <x:row r="12">
      <x:c r="A12" s="29" t="n">
        <x:v>1</x:v>
      </x:c>
      <x:c r="B12" s="30" t="str"/>
      <x:c r="C12" s="30" t="str"/>
      <x:c r="D12" s="30" t="str"/>
      <x:c r="E12" s="30" t="str"/>
      <x:c r="F12" s="30" t="str"/>
      <x:c r="G12" s="30" t="str"/>
      <x:c r="H12" s="30" t="str"/>
    </x:row>
    <x:row r="13">
      <x:c r="A13" s="29" t="n">
        <x:v>2</x:v>
      </x:c>
      <x:c r="B13" s="30" t="str"/>
      <x:c r="C13" s="30" t="str"/>
      <x:c r="D13" s="30" t="str"/>
      <x:c r="E13" s="30" t="str"/>
      <x:c r="F13" s="30" t="str"/>
      <x:c r="G13" s="30" t="str"/>
      <x:c r="H13" s="30" t="str"/>
    </x:row>
    <x:row r="14">
      <x:c r="A14" s="29" t="n">
        <x:v>3</x:v>
      </x:c>
      <x:c r="B14" s="30" t="str"/>
      <x:c r="C14" s="30" t="str"/>
      <x:c r="D14" s="30" t="str"/>
      <x:c r="E14" s="30" t="str"/>
      <x:c r="F14" s="30" t="str"/>
      <x:c r="G14" s="30" t="str"/>
      <x:c r="H14" s="30" t="str"/>
    </x:row>
    <x:row r="15">
      <x:c r="A15" s="29" t="n">
        <x:v>4</x:v>
      </x:c>
      <x:c r="B15" s="30" t="str"/>
      <x:c r="C15" s="30" t="str"/>
      <x:c r="D15" s="30" t="str"/>
      <x:c r="E15" s="30" t="str"/>
      <x:c r="F15" s="30" t="str"/>
      <x:c r="G15" s="30" t="str"/>
      <x:c r="H15" s="30" t="str"/>
    </x:row>
    <x:row r="16">
      <x:c r="A16" s="29" t="n">
        <x:v>5</x:v>
      </x:c>
      <x:c r="B16" s="30" t="str"/>
      <x:c r="C16" s="30" t="str"/>
      <x:c r="D16" s="30" t="str"/>
      <x:c r="E16" s="30" t="str"/>
      <x:c r="F16" s="30" t="str"/>
      <x:c r="G16" s="30" t="str"/>
      <x:c r="H16" s="30" t="str"/>
    </x:row>
    <x:row r="18">
      <x:c r="A18" s="14" t="str">
        <x:v>Три выбранных сценария</x:v>
      </x:c>
      <x:c r="B18" s="15"/>
      <x:c r="C18" s="15"/>
      <x:c r="D18" s="15"/>
      <x:c r="E18" s="15"/>
      <x:c r="F18" s="15"/>
      <x:c r="G18" s="15"/>
      <x:c r="H18" s="16"/>
    </x:row>
    <x:row r="19">
      <x:c r="A19" s="25" t="str">
        <x:v>№</x:v>
      </x:c>
      <x:c r="B19" s="25" t="str">
        <x:v>Название сценария</x:v>
      </x:c>
      <x:c r="C19" s="25" t="str">
        <x:v>Когда запускается</x:v>
      </x:c>
      <x:c r="D19" s="25" t="str">
        <x:v>Исходное время, мин</x:v>
      </x:c>
      <x:c r="E19" s="25" t="str">
        <x:v>Версия брифа</x:v>
      </x:c>
      <x:c r="F19" s="25" t="str">
        <x:v>Как проверяем</x:v>
      </x:c>
      <x:c r="G19" s="25" t="str">
        <x:v>Данные очищены?</x:v>
      </x:c>
      <x:c r="H19" s="25" t="str">
        <x:v>Примечание</x:v>
      </x:c>
    </x:row>
    <x:row r="20">
      <x:c r="A20" s="32" t="n">
        <x:v>1</x:v>
      </x:c>
      <x:c r="B20" s="33" t="str">
        <x:v>Сценарий 1</x:v>
      </x:c>
      <x:c r="C20" s="33" t="str"/>
      <x:c r="D20" s="33" t="str"/>
      <x:c r="E20" s="33" t="str">
        <x:v>v1</x:v>
      </x:c>
      <x:c r="F20" s="33" t="str"/>
      <x:c r="G20" s="33" t="str"/>
      <x:c r="H20" s="33" t="str"/>
    </x:row>
    <x:row r="21">
      <x:c r="A21" s="32" t="n">
        <x:v>2</x:v>
      </x:c>
      <x:c r="B21" s="33" t="str">
        <x:v>Сценарий 2</x:v>
      </x:c>
      <x:c r="C21" s="33" t="str"/>
      <x:c r="D21" s="33" t="str"/>
      <x:c r="E21" s="33" t="str">
        <x:v>v1</x:v>
      </x:c>
      <x:c r="F21" s="33" t="str"/>
      <x:c r="G21" s="33" t="str"/>
      <x:c r="H21" s="33" t="str"/>
    </x:row>
    <x:row r="22">
      <x:c r="A22" s="32" t="n">
        <x:v>3</x:v>
      </x:c>
      <x:c r="B22" s="33" t="str">
        <x:v>Сценарий 3</x:v>
      </x:c>
      <x:c r="C22" s="33" t="str"/>
      <x:c r="D22" s="33" t="str"/>
      <x:c r="E22" s="33" t="str">
        <x:v>v1</x:v>
      </x:c>
      <x:c r="F22" s="33" t="str"/>
      <x:c r="G22" s="33" t="str"/>
      <x:c r="H22" s="33" t="str"/>
    </x:row>
  </x:sheetData>
  <x:mergeCells>
    <x:mergeCell ref="A1:H1"/>
    <x:mergeCell ref="A2:H2"/>
    <x:mergeCell ref="A4:H4"/>
    <x:mergeCell ref="B5:H5"/>
    <x:mergeCell ref="B6:H6"/>
    <x:mergeCell ref="B7:H7"/>
    <x:mergeCell ref="B8:H8"/>
    <x:mergeCell ref="A10:H10"/>
    <x:mergeCell ref="A18:H18"/>
  </x:mergeCells>
  <x:dataValidations count="5">
    <x:dataValidation type="list" sqref="E12:E16">
      <x:formula1>"Да,Нет"</x:formula1>
    </x:dataValidation>
    <x:dataValidation type="list" sqref="F12:F16">
      <x:formula1>"Да,Нет"</x:formula1>
    </x:dataValidation>
    <x:dataValidation type="list" sqref="G12:G16">
      <x:formula1>"Низкая,Средняя,Высокая"</x:formula1>
    </x:dataValidation>
    <x:dataValidation type="list" sqref="H12:H16">
      <x:formula1>"Выбрать,Позже,Не брать"</x:formula1>
    </x:dataValidation>
    <x:dataValidation type="list" sqref="G20:G22">
      <x:formula1>"Да,Нет,Не требуется"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a30ff3336a431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" hidden="0" customWidth="1"/>
    <x:col min="3" max="3" width="13" hidden="0" customWidth="1"/>
    <x:col min="4" max="4" width="30" hidden="0" customWidth="1"/>
    <x:col min="5" max="5" width="17" hidden="0" customWidth="1"/>
    <x:col min="6" max="6" width="19" hidden="0" customWidth="1"/>
    <x:col min="7" max="7" width="15" hidden="0" customWidth="1"/>
    <x:col min="8" max="8" width="15" hidden="0" customWidth="1"/>
    <x:col min="9" max="9" width="17" hidden="0" customWidth="1"/>
    <x:col min="10" max="10" width="18" hidden="0" customWidth="1"/>
    <x:col min="11" max="11" width="15" hidden="0" customWidth="1"/>
    <x:col min="12" max="12" width="32" hidden="0" customWidth="1"/>
    <x:col min="13" max="13" width="17" hidden="0" customWidth="1"/>
    <x:col min="14" max="14" width="28" hidden="0" customWidth="1"/>
  </x:cols>
  <x:sheetData>
    <x:row r="1" ht="30" customHeight="1">
      <x:c r="A1" s="6" t="str">
        <x:v>Девять реальных повторов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8"/>
    </x:row>
    <x:row r="2" ht="34" customHeight="1">
      <x:c r="A2" s="9" t="str">
        <x:v>Не измеряйте только скорость генерации. Время с ИИ включает подготовку, итерации, ручную правку и финальную проверку.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1"/>
    </x:row>
    <x:row r="4">
      <x:c r="A4" s="25" t="str">
        <x:v>Сценарий</x:v>
      </x:c>
      <x:c r="B4" s="25" t="str">
        <x:v>Повтор</x:v>
      </x:c>
      <x:c r="C4" s="25" t="str">
        <x:v>Дата</x:v>
      </x:c>
      <x:c r="D4" s="25" t="str">
        <x:v>Пример / вход</x:v>
      </x:c>
      <x:c r="E4" s="25" t="str">
        <x:v>Исходное время, мин</x:v>
      </x:c>
      <x:c r="F4" s="25" t="str">
        <x:v>С ИИ + проверка, мин</x:v>
      </x:c>
      <x:c r="G4" s="25" t="str">
        <x:v>Разница, мин</x:v>
      </x:c>
      <x:c r="H4" s="25" t="str">
        <x:v>Изменение, %</x:v>
      </x:c>
      <x:c r="I4" s="25" t="str">
        <x:v>Ручная правка, 1–5</x:v>
      </x:c>
      <x:c r="J4" s="25" t="str">
        <x:v>Серьёзные ошибки, 0–5</x:v>
      </x:c>
      <x:c r="K4" s="25" t="str">
        <x:v>Полезность, 1–5</x:v>
      </x:c>
      <x:c r="L4" s="25" t="str">
        <x:v>Что изменили в брифе</x:v>
      </x:c>
      <x:c r="M4" s="25" t="str">
        <x:v>Решение</x:v>
      </x:c>
      <x:c r="N4" s="25" t="str">
        <x:v>Комментарий</x:v>
      </x:c>
    </x:row>
    <x:row r="5" ht="38" customHeight="1">
      <x:c r="A5" s="20" t="str">
        <x:f>'Старт'!B20</x:f>
        <x:v>Сценарий 1</x:v>
      </x:c>
      <x:c r="B5" s="20" t="n">
        <x:v>1</x:v>
      </x:c>
      <x:c r="C5" s="35" t="str"/>
      <x:c r="D5" s="21" t="str"/>
      <x:c r="E5" s="38" t="str">
        <x:f>IF(A5="","",'Старт'!D20)</x:f>
      </x:c>
      <x:c r="F5" s="38" t="str"/>
      <x:c r="G5" s="38" t="str">
        <x:f>IF(E5="","",IF(F5="","",E5-F5))</x:f>
      </x:c>
      <x:c r="H5" s="41" t="str">
        <x:f>IF(E5="","",IF(F5="","",IF(E5=0,"",(E5-F5)/E5)))</x:f>
      </x:c>
      <x:c r="I5" s="20" t="str"/>
      <x:c r="J5" s="20" t="str"/>
      <x:c r="K5" s="20" t="str"/>
      <x:c r="L5" s="21" t="str"/>
      <x:c r="M5" s="21" t="str"/>
      <x:c r="N5" s="21" t="str"/>
    </x:row>
    <x:row r="6" ht="38" customHeight="1">
      <x:c r="A6" s="20" t="str">
        <x:f>'Старт'!B20</x:f>
        <x:v>Сценарий 1</x:v>
      </x:c>
      <x:c r="B6" s="20" t="n">
        <x:v>2</x:v>
      </x:c>
      <x:c r="C6" s="35" t="str"/>
      <x:c r="D6" s="21" t="str"/>
      <x:c r="E6" s="38" t="str">
        <x:f>IF(A6="","",'Старт'!D20)</x:f>
      </x:c>
      <x:c r="F6" s="38" t="str"/>
      <x:c r="G6" s="38" t="str">
        <x:f>IF(E6="","",IF(F6="","",E6-F6))</x:f>
      </x:c>
      <x:c r="H6" s="41" t="str">
        <x:f>IF(E6="","",IF(F6="","",IF(E6=0,"",(E6-F6)/E6)))</x:f>
      </x:c>
      <x:c r="I6" s="20" t="str"/>
      <x:c r="J6" s="20" t="str"/>
      <x:c r="K6" s="20" t="str"/>
      <x:c r="L6" s="21" t="str"/>
      <x:c r="M6" s="21" t="str"/>
      <x:c r="N6" s="21" t="str"/>
    </x:row>
    <x:row r="7" ht="38" customHeight="1">
      <x:c r="A7" s="20" t="str">
        <x:f>'Старт'!B20</x:f>
        <x:v>Сценарий 1</x:v>
      </x:c>
      <x:c r="B7" s="20" t="n">
        <x:v>3</x:v>
      </x:c>
      <x:c r="C7" s="35" t="str"/>
      <x:c r="D7" s="21" t="str"/>
      <x:c r="E7" s="38" t="str">
        <x:f>IF(A7="","",'Старт'!D20)</x:f>
      </x:c>
      <x:c r="F7" s="38" t="str"/>
      <x:c r="G7" s="38" t="str">
        <x:f>IF(E7="","",IF(F7="","",E7-F7))</x:f>
      </x:c>
      <x:c r="H7" s="41" t="str">
        <x:f>IF(E7="","",IF(F7="","",IF(E7=0,"",(E7-F7)/E7)))</x:f>
      </x:c>
      <x:c r="I7" s="20" t="str"/>
      <x:c r="J7" s="20" t="str"/>
      <x:c r="K7" s="20" t="str"/>
      <x:c r="L7" s="21" t="str"/>
      <x:c r="M7" s="21" t="str"/>
      <x:c r="N7" s="21" t="str"/>
    </x:row>
    <x:row r="8" ht="38" customHeight="1">
      <x:c r="A8" s="32" t="str">
        <x:f>'Старт'!B21</x:f>
        <x:v>Сценарий 2</x:v>
      </x:c>
      <x:c r="B8" s="32" t="n">
        <x:v>1</x:v>
      </x:c>
      <x:c r="C8" s="36" t="str"/>
      <x:c r="D8" s="33" t="str"/>
      <x:c r="E8" s="39" t="str">
        <x:f>IF(A8="","",'Старт'!D21)</x:f>
      </x:c>
      <x:c r="F8" s="39" t="str"/>
      <x:c r="G8" s="39" t="str">
        <x:f>IF(E8="","",IF(F8="","",E8-F8))</x:f>
      </x:c>
      <x:c r="H8" s="42" t="str">
        <x:f>IF(E8="","",IF(F8="","",IF(E8=0,"",(E8-F8)/E8)))</x:f>
      </x:c>
      <x:c r="I8" s="32" t="str"/>
      <x:c r="J8" s="32" t="str"/>
      <x:c r="K8" s="32" t="str"/>
      <x:c r="L8" s="33" t="str"/>
      <x:c r="M8" s="33" t="str"/>
      <x:c r="N8" s="33" t="str"/>
    </x:row>
    <x:row r="9" ht="38" customHeight="1">
      <x:c r="A9" s="32" t="str">
        <x:f>'Старт'!B21</x:f>
        <x:v>Сценарий 2</x:v>
      </x:c>
      <x:c r="B9" s="32" t="n">
        <x:v>2</x:v>
      </x:c>
      <x:c r="C9" s="36" t="str"/>
      <x:c r="D9" s="33" t="str"/>
      <x:c r="E9" s="39" t="str">
        <x:f>IF(A9="","",'Старт'!D21)</x:f>
      </x:c>
      <x:c r="F9" s="39" t="str"/>
      <x:c r="G9" s="39" t="str">
        <x:f>IF(E9="","",IF(F9="","",E9-F9))</x:f>
      </x:c>
      <x:c r="H9" s="42" t="str">
        <x:f>IF(E9="","",IF(F9="","",IF(E9=0,"",(E9-F9)/E9)))</x:f>
      </x:c>
      <x:c r="I9" s="32" t="str"/>
      <x:c r="J9" s="32" t="str"/>
      <x:c r="K9" s="32" t="str"/>
      <x:c r="L9" s="33" t="str"/>
      <x:c r="M9" s="33" t="str"/>
      <x:c r="N9" s="33" t="str"/>
    </x:row>
    <x:row r="10" ht="38" customHeight="1">
      <x:c r="A10" s="32" t="str">
        <x:f>'Старт'!B21</x:f>
        <x:v>Сценарий 2</x:v>
      </x:c>
      <x:c r="B10" s="32" t="n">
        <x:v>3</x:v>
      </x:c>
      <x:c r="C10" s="36" t="str"/>
      <x:c r="D10" s="33" t="str"/>
      <x:c r="E10" s="39" t="str">
        <x:f>IF(A10="","",'Старт'!D21)</x:f>
      </x:c>
      <x:c r="F10" s="39" t="str"/>
      <x:c r="G10" s="39" t="str">
        <x:f>IF(E10="","",IF(F10="","",E10-F10))</x:f>
      </x:c>
      <x:c r="H10" s="42" t="str">
        <x:f>IF(E10="","",IF(F10="","",IF(E10=0,"",(E10-F10)/E10)))</x:f>
      </x:c>
      <x:c r="I10" s="32" t="str"/>
      <x:c r="J10" s="32" t="str"/>
      <x:c r="K10" s="32" t="str"/>
      <x:c r="L10" s="33" t="str"/>
      <x:c r="M10" s="33" t="str"/>
      <x:c r="N10" s="33" t="str"/>
    </x:row>
    <x:row r="11" ht="38" customHeight="1">
      <x:c r="A11" s="34" t="str">
        <x:f>'Старт'!B22</x:f>
        <x:v>Сценарий 3</x:v>
      </x:c>
      <x:c r="B11" s="34" t="n">
        <x:v>1</x:v>
      </x:c>
      <x:c r="C11" s="37" t="str"/>
      <x:c r="D11" s="44" t="str"/>
      <x:c r="E11" s="40" t="str">
        <x:f>IF(A11="","",'Старт'!D22)</x:f>
      </x:c>
      <x:c r="F11" s="40" t="str"/>
      <x:c r="G11" s="40" t="str">
        <x:f>IF(E11="","",IF(F11="","",E11-F11))</x:f>
      </x:c>
      <x:c r="H11" s="43" t="str">
        <x:f>IF(E11="","",IF(F11="","",IF(E11=0,"",(E11-F11)/E11)))</x:f>
      </x:c>
      <x:c r="I11" s="34" t="str"/>
      <x:c r="J11" s="34" t="str"/>
      <x:c r="K11" s="34" t="str"/>
      <x:c r="L11" s="44" t="str"/>
      <x:c r="M11" s="44" t="str"/>
      <x:c r="N11" s="44" t="str"/>
    </x:row>
    <x:row r="12" ht="38" customHeight="1">
      <x:c r="A12" s="34" t="str">
        <x:f>'Старт'!B22</x:f>
        <x:v>Сценарий 3</x:v>
      </x:c>
      <x:c r="B12" s="34" t="n">
        <x:v>2</x:v>
      </x:c>
      <x:c r="C12" s="37" t="str"/>
      <x:c r="D12" s="44" t="str"/>
      <x:c r="E12" s="40" t="str">
        <x:f>IF(A12="","",'Старт'!D22)</x:f>
      </x:c>
      <x:c r="F12" s="40" t="str"/>
      <x:c r="G12" s="40" t="str">
        <x:f>IF(E12="","",IF(F12="","",E12-F12))</x:f>
      </x:c>
      <x:c r="H12" s="43" t="str">
        <x:f>IF(E12="","",IF(F12="","",IF(E12=0,"",(E12-F12)/E12)))</x:f>
      </x:c>
      <x:c r="I12" s="34" t="str"/>
      <x:c r="J12" s="34" t="str"/>
      <x:c r="K12" s="34" t="str"/>
      <x:c r="L12" s="44" t="str"/>
      <x:c r="M12" s="44" t="str"/>
      <x:c r="N12" s="44" t="str"/>
    </x:row>
    <x:row r="13" ht="38" customHeight="1">
      <x:c r="A13" s="34" t="str">
        <x:f>'Старт'!B22</x:f>
        <x:v>Сценарий 3</x:v>
      </x:c>
      <x:c r="B13" s="34" t="n">
        <x:v>3</x:v>
      </x:c>
      <x:c r="C13" s="37" t="str"/>
      <x:c r="D13" s="44" t="str"/>
      <x:c r="E13" s="40" t="str">
        <x:f>IF(A13="","",'Старт'!D22)</x:f>
      </x:c>
      <x:c r="F13" s="40" t="str"/>
      <x:c r="G13" s="40" t="str">
        <x:f>IF(E13="","",IF(F13="","",E13-F13))</x:f>
      </x:c>
      <x:c r="H13" s="43" t="str">
        <x:f>IF(E13="","",IF(F13="","",IF(E13=0,"",(E13-F13)/E13)))</x:f>
      </x:c>
      <x:c r="I13" s="34" t="str"/>
      <x:c r="J13" s="34" t="str"/>
      <x:c r="K13" s="34" t="str"/>
      <x:c r="L13" s="44" t="str"/>
      <x:c r="M13" s="44" t="str"/>
      <x:c r="N13" s="44" t="str"/>
    </x:row>
  </x:sheetData>
  <x:mergeCells>
    <x:mergeCell ref="A1:N1"/>
    <x:mergeCell ref="A2:N2"/>
  </x:mergeCells>
  <x:dataValidations count="4">
    <x:dataValidation type="list" sqref="I5:I13">
      <x:formula1>"1,2,3,4,5"</x:formula1>
    </x:dataValidation>
    <x:dataValidation type="list" sqref="J5:J13">
      <x:formula1>"0,1,2,3,4,5"</x:formula1>
    </x:dataValidation>
    <x:dataValidation type="list" sqref="K5:K13">
      <x:formula1>"1,2,3,4,5"</x:formula1>
    </x:dataValidation>
    <x:dataValidation type="list" sqref="M5:M13">
      <x:formula1>"Оставить,Изменить,Отказаться"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4798ed8fc624d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" hidden="0" customWidth="1"/>
    <x:col min="3" max="3" width="18" hidden="0" customWidth="1"/>
    <x:col min="4" max="4" width="20" hidden="0" customWidth="1"/>
    <x:col min="5" max="5" width="18" hidden="0" customWidth="1"/>
    <x:col min="6" max="6" width="17" hidden="0" customWidth="1"/>
    <x:col min="7" max="7" width="18" hidden="0" customWidth="1"/>
    <x:col min="8" max="8" width="19" hidden="0" customWidth="1"/>
    <x:col min="9" max="9" width="17" hidden="0" customWidth="1"/>
    <x:col min="10" max="10" width="22" hidden="0" customWidth="1"/>
    <x:col min="11" max="11" width="18" hidden="0" customWidth="1"/>
    <x:col min="12" max="12" width="32" hidden="0" customWidth="1"/>
  </x:cols>
  <x:sheetData>
    <x:row r="1" ht="30" customHeight="1">
      <x:c r="A1" s="6" t="str">
        <x:v>Итог по трём сценариям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8"/>
    </x:row>
    <x:row r="2" ht="34" customHeight="1">
      <x:c r="A2" s="9" t="str">
        <x:v>Три повтора — минимальная проверка, а не гарантия экономии времени. Итоговое решение остаётся за вами.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1"/>
    </x:row>
    <x:row r="4">
      <x:c r="A4" s="25" t="str">
        <x:v>Сценарий</x:v>
      </x:c>
      <x:c r="B4" s="25" t="str">
        <x:v>Повторов</x:v>
      </x:c>
      <x:c r="C4" s="25" t="str">
        <x:v>Исходное время, мин</x:v>
      </x:c>
      <x:c r="D4" s="25" t="str">
        <x:v>Среднее с ИИ, мин</x:v>
      </x:c>
      <x:c r="E4" s="25" t="str">
        <x:v>Средняя разница, мин</x:v>
      </x:c>
      <x:c r="F4" s="25" t="str">
        <x:v>Среднее изменение, %</x:v>
      </x:c>
      <x:c r="G4" s="25" t="str">
        <x:v>Средняя правка, 1–5</x:v>
      </x:c>
      <x:c r="H4" s="25" t="str">
        <x:v>Серьёзных ошибок</x:v>
      </x:c>
      <x:c r="I4" s="25" t="str">
        <x:v>Средняя полезность</x:v>
      </x:c>
      <x:c r="J4" s="25" t="str">
        <x:v>Сигнал журнала</x:v>
      </x:c>
      <x:c r="K4" s="25" t="str">
        <x:v>Ваше решение</x:v>
      </x:c>
      <x:c r="L4" s="25" t="str">
        <x:v>Следующий шаг</x:v>
      </x:c>
    </x:row>
    <x:row r="5" ht="42" customHeight="1">
      <x:c r="A5" s="32" t="str">
        <x:f>'Старт'!B20</x:f>
        <x:v>Сценарий 1</x:v>
      </x:c>
      <x:c r="B5" s="32" t="n">
        <x:f>COUNT('Повторы'!F5:F7)</x:f>
        <x:v>0</x:v>
      </x:c>
      <x:c r="C5" s="45" t="str">
        <x:f>IF(COUNT('Повторы'!E5:E7)=0,"",AVERAGE('Повторы'!E5:E7))</x:f>
      </x:c>
      <x:c r="D5" s="45" t="str">
        <x:f>IF(COUNT('Повторы'!F5:F7)=0,"",AVERAGE('Повторы'!F5:F7))</x:f>
      </x:c>
      <x:c r="E5" s="45" t="str">
        <x:f>IF(C5="","",IF(D5="","",C5-D5))</x:f>
      </x:c>
      <x:c r="F5" s="42" t="str">
        <x:f>IF(C5="","",IF(E5="","",IF(C5=0,"",E5/C5)))</x:f>
      </x:c>
      <x:c r="G5" s="45" t="str">
        <x:f>IF(COUNT('Повторы'!I5:I7)=0,"",AVERAGE('Повторы'!I5:I7))</x:f>
      </x:c>
      <x:c r="H5" s="45" t="n">
        <x:f>SUM('Повторы'!J5:J7)</x:f>
        <x:v>0</x:v>
      </x:c>
      <x:c r="I5" s="45" t="str">
        <x:f>IF(COUNT('Повторы'!K5:K7)=0,"",AVERAGE('Повторы'!K5:K7))</x:f>
      </x:c>
      <x:c r="J5" s="33" t="str">
        <x:f>IF(B5&lt;3,"Нужно 3 повтора",IF(H5&gt;0,"Проверить риск",IF(I5&lt;4,"Нужна правка",IF(F5&gt;0,"Кандидат: оставить","Нужна правка"))))</x:f>
        <x:v>Нужно 3 повтора</x:v>
      </x:c>
      <x:c r="K5" s="33" t="str"/>
      <x:c r="L5" s="33" t="str"/>
    </x:row>
    <x:row r="6" ht="42" customHeight="1">
      <x:c r="A6" s="32" t="str">
        <x:f>'Старт'!B21</x:f>
        <x:v>Сценарий 2</x:v>
      </x:c>
      <x:c r="B6" s="32" t="n">
        <x:f>COUNT('Повторы'!F8:F10)</x:f>
        <x:v>0</x:v>
      </x:c>
      <x:c r="C6" s="45" t="str">
        <x:f>IF(COUNT('Повторы'!E8:E10)=0,"",AVERAGE('Повторы'!E8:E10))</x:f>
      </x:c>
      <x:c r="D6" s="45" t="str">
        <x:f>IF(COUNT('Повторы'!F8:F10)=0,"",AVERAGE('Повторы'!F8:F10))</x:f>
      </x:c>
      <x:c r="E6" s="45" t="str">
        <x:f>IF(C6="","",IF(D6="","",C6-D6))</x:f>
      </x:c>
      <x:c r="F6" s="42" t="str">
        <x:f>IF(C6="","",IF(E6="","",IF(C6=0,"",E6/C6)))</x:f>
      </x:c>
      <x:c r="G6" s="45" t="str">
        <x:f>IF(COUNT('Повторы'!I8:I10)=0,"",AVERAGE('Повторы'!I8:I10))</x:f>
      </x:c>
      <x:c r="H6" s="45" t="n">
        <x:f>SUM('Повторы'!J8:J10)</x:f>
        <x:v>0</x:v>
      </x:c>
      <x:c r="I6" s="45" t="str">
        <x:f>IF(COUNT('Повторы'!K8:K10)=0,"",AVERAGE('Повторы'!K8:K10))</x:f>
      </x:c>
      <x:c r="J6" s="33" t="str">
        <x:f>IF(B6&lt;3,"Нужно 3 повтора",IF(H6&gt;0,"Проверить риск",IF(I6&lt;4,"Нужна правка",IF(F6&gt;0,"Кандидат: оставить","Нужна правка"))))</x:f>
        <x:v>Нужно 3 повтора</x:v>
      </x:c>
      <x:c r="K6" s="33" t="str"/>
      <x:c r="L6" s="33" t="str"/>
    </x:row>
    <x:row r="7" ht="42" customHeight="1">
      <x:c r="A7" s="32" t="str">
        <x:f>'Старт'!B22</x:f>
        <x:v>Сценарий 3</x:v>
      </x:c>
      <x:c r="B7" s="32" t="n">
        <x:f>COUNT('Повторы'!F11:F13)</x:f>
        <x:v>0</x:v>
      </x:c>
      <x:c r="C7" s="45" t="str">
        <x:f>IF(COUNT('Повторы'!E11:E13)=0,"",AVERAGE('Повторы'!E11:E13))</x:f>
      </x:c>
      <x:c r="D7" s="45" t="str">
        <x:f>IF(COUNT('Повторы'!F11:F13)=0,"",AVERAGE('Повторы'!F11:F13))</x:f>
      </x:c>
      <x:c r="E7" s="45" t="str">
        <x:f>IF(C7="","",IF(D7="","",C7-D7))</x:f>
      </x:c>
      <x:c r="F7" s="42" t="str">
        <x:f>IF(C7="","",IF(E7="","",IF(C7=0,"",E7/C7)))</x:f>
      </x:c>
      <x:c r="G7" s="45" t="str">
        <x:f>IF(COUNT('Повторы'!I11:I13)=0,"",AVERAGE('Повторы'!I11:I13))</x:f>
      </x:c>
      <x:c r="H7" s="45" t="n">
        <x:f>SUM('Повторы'!J11:J13)</x:f>
        <x:v>0</x:v>
      </x:c>
      <x:c r="I7" s="45" t="str">
        <x:f>IF(COUNT('Повторы'!K11:K13)=0,"",AVERAGE('Повторы'!K11:K13))</x:f>
      </x:c>
      <x:c r="J7" s="33" t="str">
        <x:f>IF(B7&lt;3,"Нужно 3 повтора",IF(H7&gt;0,"Проверить риск",IF(I7&lt;4,"Нужна правка",IF(F7&gt;0,"Кандидат: оставить","Нужна правка"))))</x:f>
        <x:v>Нужно 3 повтора</x:v>
      </x:c>
      <x:c r="K7" s="33" t="str"/>
      <x:c r="L7" s="33" t="str"/>
    </x:row>
    <x:row r="10">
      <x:c r="A10" s="14" t="str">
        <x:v>Правило решения</x:v>
      </x:c>
      <x:c r="B10" s="15"/>
      <x:c r="C10" s="15"/>
      <x:c r="D10" s="15"/>
      <x:c r="E10" s="15"/>
      <x:c r="F10" s="15"/>
      <x:c r="G10" s="15"/>
      <x:c r="H10" s="15"/>
      <x:c r="I10" s="15"/>
      <x:c r="J10" s="15"/>
      <x:c r="K10" s="15"/>
      <x:c r="L10" s="16"/>
    </x:row>
    <x:row r="11">
      <x:c r="A11" s="20" t="str">
        <x:v>Оставить</x:v>
      </x:c>
      <x:c r="B11" s="21" t="str">
        <x:v>Три повтора завершены, результат полезен, проверка понятна, серьёзных ошибок нет.</x:v>
      </x:c>
      <x:c r="C11" s="21" t="str"/>
      <x:c r="D11" s="21" t="str"/>
      <x:c r="E11" s="21" t="str"/>
      <x:c r="F11" s="21" t="str"/>
      <x:c r="G11" s="21" t="str"/>
      <x:c r="H11" s="21" t="str"/>
      <x:c r="I11" s="21" t="str"/>
      <x:c r="J11" s="21" t="str"/>
      <x:c r="K11" s="21" t="str"/>
      <x:c r="L11" s="21" t="str"/>
    </x:row>
    <x:row r="12">
      <x:c r="A12" s="20" t="str">
        <x:v>Изменить</x:v>
      </x:c>
      <x:c r="B12" s="21" t="str">
        <x:v>Польза есть, но нужен другой бриф, источник, инструмент или способ проверки.</x:v>
      </x:c>
      <x:c r="C12" s="21" t="str"/>
      <x:c r="D12" s="21" t="str"/>
      <x:c r="E12" s="21" t="str"/>
      <x:c r="F12" s="21" t="str"/>
      <x:c r="G12" s="21" t="str"/>
      <x:c r="H12" s="21" t="str"/>
      <x:c r="I12" s="21" t="str"/>
      <x:c r="J12" s="21" t="str"/>
      <x:c r="K12" s="21" t="str"/>
      <x:c r="L12" s="21" t="str"/>
    </x:row>
    <x:row r="13">
      <x:c r="A13" s="20" t="str">
        <x:v>Отказаться</x:v>
      </x:c>
      <x:c r="B13" s="21" t="str">
        <x:v>Полный цикл не стал лучше либо цена ошибки остаётся слишком высокой.</x:v>
      </x:c>
      <x:c r="C13" s="21" t="str"/>
      <x:c r="D13" s="21" t="str"/>
      <x:c r="E13" s="21" t="str"/>
      <x:c r="F13" s="21" t="str"/>
      <x:c r="G13" s="21" t="str"/>
      <x:c r="H13" s="21" t="str"/>
      <x:c r="I13" s="21" t="str"/>
      <x:c r="J13" s="21" t="str"/>
      <x:c r="K13" s="21" t="str"/>
      <x:c r="L13" s="21" t="str"/>
    </x:row>
  </x:sheetData>
  <x:mergeCells>
    <x:mergeCell ref="A1:L1"/>
    <x:mergeCell ref="A2:L2"/>
    <x:mergeCell ref="A10:L10"/>
    <x:mergeCell ref="B11:L11"/>
    <x:mergeCell ref="B12:L12"/>
    <x:mergeCell ref="B13:L13"/>
  </x:mergeCells>
  <x:dataValidations count="1">
    <x:dataValidation type="list" sqref="K5:K7">
      <x:formula1>"Оставить,Изменить,Отказаться"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8f658a766a44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9" hidden="0" customWidth="1"/>
    <x:col min="3" max="3" width="21" hidden="0" customWidth="1"/>
    <x:col min="4" max="4" width="29" hidden="0" customWidth="1"/>
    <x:col min="5" max="5" width="21" hidden="0" customWidth="1"/>
    <x:col min="6" max="6" width="29" hidden="0" customWidth="1"/>
    <x:col min="7" max="7" width="21" hidden="0" customWidth="1"/>
    <x:col min="8" max="8" width="29" hidden="0" customWidth="1"/>
  </x:cols>
  <x:sheetData>
    <x:row r="1" ht="30" customHeight="1">
      <x:c r="A1" s="6" t="str">
        <x:v>Три карточки рабочих процессов</x:v>
      </x:c>
      <x:c r="B1" s="7"/>
      <x:c r="C1" s="7"/>
      <x:c r="D1" s="7"/>
      <x:c r="E1" s="7"/>
      <x:c r="F1" s="7"/>
      <x:c r="G1" s="7"/>
      <x:c r="H1" s="8"/>
    </x:row>
    <x:row r="2" ht="34" customHeight="1">
      <x:c r="A2" s="9" t="str">
        <x:v>Заполняйте карточку только после трёх повторов. Она должна позволять воспроизвести процесс без устных пояснений.</x:v>
      </x:c>
      <x:c r="B2" s="10"/>
      <x:c r="C2" s="10"/>
      <x:c r="D2" s="10"/>
      <x:c r="E2" s="10"/>
      <x:c r="F2" s="10"/>
      <x:c r="G2" s="10"/>
      <x:c r="H2" s="11"/>
    </x:row>
    <x:row r="4">
      <x:c r="A4" s="14" t="str">
        <x:f>'Старт'!B20</x:f>
        <x:v>Сценарий 1</x:v>
      </x:c>
      <x:c r="B4" s="15"/>
      <x:c r="C4" s="15"/>
      <x:c r="D4" s="15"/>
      <x:c r="E4" s="15"/>
      <x:c r="F4" s="15"/>
      <x:c r="G4" s="15"/>
      <x:c r="H4" s="16"/>
    </x:row>
    <x:row r="6">
      <x:c r="A6" s="46" t="str">
        <x:v>Название</x:v>
      </x:c>
      <x:c r="B6" s="46"/>
      <x:c r="E6" s="46" t="str">
        <x:v>Когда запускается</x:v>
      </x:c>
      <x:c r="F6" s="46"/>
    </x:row>
    <x:row r="7" ht="42" customHeight="1">
      <x:c r="A7" s="33"/>
      <x:c r="B7" s="33"/>
      <x:c r="C7" s="33"/>
      <x:c r="D7" s="33"/>
      <x:c r="E7" s="33"/>
      <x:c r="F7" s="33"/>
      <x:c r="G7" s="33"/>
      <x:c r="H7" s="33"/>
    </x:row>
    <x:row r="8">
      <x:c r="A8" s="46" t="str">
        <x:v>Вход</x:v>
      </x:c>
      <x:c r="B8" s="46"/>
      <x:c r="E8" s="46" t="str">
        <x:v>Ожидаемый результат</x:v>
      </x:c>
      <x:c r="F8" s="46"/>
    </x:row>
    <x:row r="9" ht="42" customHeight="1">
      <x:c r="A9" s="33"/>
      <x:c r="B9" s="33"/>
      <x:c r="C9" s="33"/>
      <x:c r="D9" s="33"/>
      <x:c r="E9" s="33"/>
      <x:c r="F9" s="33"/>
      <x:c r="G9" s="33"/>
      <x:c r="H9" s="33"/>
    </x:row>
    <x:row r="10">
      <x:c r="A10" s="46" t="str">
        <x:v>Инструкция / версия брифа</x:v>
      </x:c>
      <x:c r="B10" s="46"/>
      <x:c r="E10" s="46" t="str">
        <x:v>Проверка</x:v>
      </x:c>
      <x:c r="F10" s="46"/>
    </x:row>
    <x:row r="11" ht="42" customHeight="1">
      <x:c r="A11" s="33"/>
      <x:c r="B11" s="33"/>
      <x:c r="C11" s="33"/>
      <x:c r="D11" s="33"/>
      <x:c r="E11" s="33"/>
      <x:c r="F11" s="33"/>
      <x:c r="G11" s="33"/>
      <x:c r="H11" s="33"/>
    </x:row>
    <x:row r="12">
      <x:c r="A12" s="46" t="str">
        <x:v>Измерения</x:v>
      </x:c>
      <x:c r="B12" s="46"/>
      <x:c r="E12" s="46" t="str">
        <x:v>Решение и следующий шаг</x:v>
      </x:c>
      <x:c r="F12" s="46"/>
    </x:row>
    <x:row r="13" ht="42" customHeight="1">
      <x:c r="A13" s="33"/>
      <x:c r="B13" s="33"/>
      <x:c r="C13" s="33"/>
      <x:c r="D13" s="33"/>
      <x:c r="E13" s="33"/>
      <x:c r="F13" s="33"/>
      <x:c r="G13" s="33"/>
      <x:c r="H13" s="33"/>
    </x:row>
    <x:row r="16">
      <x:c r="A16" s="14" t="str">
        <x:f>'Старт'!B21</x:f>
        <x:v>Сценарий 2</x:v>
      </x:c>
      <x:c r="B16" s="15"/>
      <x:c r="C16" s="15"/>
      <x:c r="D16" s="15"/>
      <x:c r="E16" s="15"/>
      <x:c r="F16" s="15"/>
      <x:c r="G16" s="15"/>
      <x:c r="H16" s="16"/>
    </x:row>
    <x:row r="18">
      <x:c r="A18" s="46" t="str">
        <x:v>Название</x:v>
      </x:c>
      <x:c r="B18" s="46"/>
      <x:c r="E18" s="46" t="str">
        <x:v>Когда запускается</x:v>
      </x:c>
      <x:c r="F18" s="46"/>
    </x:row>
    <x:row r="19" ht="42" customHeight="1">
      <x:c r="A19" s="33"/>
      <x:c r="B19" s="33"/>
      <x:c r="C19" s="33"/>
      <x:c r="D19" s="33"/>
      <x:c r="E19" s="33"/>
      <x:c r="F19" s="33"/>
      <x:c r="G19" s="33"/>
      <x:c r="H19" s="33"/>
    </x:row>
    <x:row r="20">
      <x:c r="A20" s="46" t="str">
        <x:v>Вход</x:v>
      </x:c>
      <x:c r="B20" s="46"/>
      <x:c r="E20" s="46" t="str">
        <x:v>Ожидаемый результат</x:v>
      </x:c>
      <x:c r="F20" s="46"/>
    </x:row>
    <x:row r="21" ht="42" customHeight="1">
      <x:c r="A21" s="33"/>
      <x:c r="B21" s="33"/>
      <x:c r="C21" s="33"/>
      <x:c r="D21" s="33"/>
      <x:c r="E21" s="33"/>
      <x:c r="F21" s="33"/>
      <x:c r="G21" s="33"/>
      <x:c r="H21" s="33"/>
    </x:row>
    <x:row r="22">
      <x:c r="A22" s="46" t="str">
        <x:v>Инструкция / версия брифа</x:v>
      </x:c>
      <x:c r="B22" s="46"/>
      <x:c r="E22" s="46" t="str">
        <x:v>Проверка</x:v>
      </x:c>
      <x:c r="F22" s="46"/>
    </x:row>
    <x:row r="23" ht="42" customHeight="1">
      <x:c r="A23" s="33"/>
      <x:c r="B23" s="33"/>
      <x:c r="C23" s="33"/>
      <x:c r="D23" s="33"/>
      <x:c r="E23" s="33"/>
      <x:c r="F23" s="33"/>
      <x:c r="G23" s="33"/>
      <x:c r="H23" s="33"/>
    </x:row>
    <x:row r="24">
      <x:c r="A24" s="46" t="str">
        <x:v>Измерения</x:v>
      </x:c>
      <x:c r="B24" s="46"/>
      <x:c r="E24" s="46" t="str">
        <x:v>Решение и следующий шаг</x:v>
      </x:c>
      <x:c r="F24" s="46"/>
    </x:row>
    <x:row r="25" ht="42" customHeight="1">
      <x:c r="A25" s="33"/>
      <x:c r="B25" s="33"/>
      <x:c r="C25" s="33"/>
      <x:c r="D25" s="33"/>
      <x:c r="E25" s="33"/>
      <x:c r="F25" s="33"/>
      <x:c r="G25" s="33"/>
      <x:c r="H25" s="33"/>
    </x:row>
    <x:row r="28">
      <x:c r="A28" s="14" t="str">
        <x:f>'Старт'!B22</x:f>
        <x:v>Сценарий 3</x:v>
      </x:c>
      <x:c r="B28" s="15"/>
      <x:c r="C28" s="15"/>
      <x:c r="D28" s="15"/>
      <x:c r="E28" s="15"/>
      <x:c r="F28" s="15"/>
      <x:c r="G28" s="15"/>
      <x:c r="H28" s="16"/>
    </x:row>
    <x:row r="30">
      <x:c r="A30" s="46" t="str">
        <x:v>Название</x:v>
      </x:c>
      <x:c r="B30" s="46"/>
      <x:c r="E30" s="46" t="str">
        <x:v>Когда запускается</x:v>
      </x:c>
      <x:c r="F30" s="46"/>
    </x:row>
    <x:row r="31" ht="42" customHeight="1">
      <x:c r="A31" s="33"/>
      <x:c r="B31" s="33"/>
      <x:c r="C31" s="33"/>
      <x:c r="D31" s="33"/>
      <x:c r="E31" s="33"/>
      <x:c r="F31" s="33"/>
      <x:c r="G31" s="33"/>
      <x:c r="H31" s="33"/>
    </x:row>
    <x:row r="32">
      <x:c r="A32" s="46" t="str">
        <x:v>Вход</x:v>
      </x:c>
      <x:c r="B32" s="46"/>
      <x:c r="E32" s="46" t="str">
        <x:v>Ожидаемый результат</x:v>
      </x:c>
      <x:c r="F32" s="46"/>
    </x:row>
    <x:row r="33" ht="42" customHeight="1">
      <x:c r="A33" s="33"/>
      <x:c r="B33" s="33"/>
      <x:c r="C33" s="33"/>
      <x:c r="D33" s="33"/>
      <x:c r="E33" s="33"/>
      <x:c r="F33" s="33"/>
      <x:c r="G33" s="33"/>
      <x:c r="H33" s="33"/>
    </x:row>
    <x:row r="34">
      <x:c r="A34" s="46" t="str">
        <x:v>Инструкция / версия брифа</x:v>
      </x:c>
      <x:c r="B34" s="46"/>
      <x:c r="E34" s="46" t="str">
        <x:v>Проверка</x:v>
      </x:c>
      <x:c r="F34" s="46"/>
    </x:row>
    <x:row r="35" ht="42" customHeight="1">
      <x:c r="A35" s="33"/>
      <x:c r="B35" s="33"/>
      <x:c r="C35" s="33"/>
      <x:c r="D35" s="33"/>
      <x:c r="E35" s="33"/>
      <x:c r="F35" s="33"/>
      <x:c r="G35" s="33"/>
      <x:c r="H35" s="33"/>
    </x:row>
    <x:row r="36">
      <x:c r="A36" s="46" t="str">
        <x:v>Измерения</x:v>
      </x:c>
      <x:c r="B36" s="46"/>
      <x:c r="E36" s="46" t="str">
        <x:v>Решение и следующий шаг</x:v>
      </x:c>
      <x:c r="F36" s="46"/>
    </x:row>
    <x:row r="37" ht="42" customHeight="1">
      <x:c r="A37" s="33"/>
      <x:c r="B37" s="33"/>
      <x:c r="C37" s="33"/>
      <x:c r="D37" s="33"/>
      <x:c r="E37" s="33"/>
      <x:c r="F37" s="33"/>
      <x:c r="G37" s="33"/>
      <x:c r="H37" s="33"/>
    </x:row>
  </x:sheetData>
  <x:mergeCells>
    <x:mergeCell ref="A1:H1"/>
    <x:mergeCell ref="A2:H2"/>
    <x:mergeCell ref="A4:H4"/>
    <x:mergeCell ref="A6:B6"/>
    <x:mergeCell ref="E6:F6"/>
    <x:mergeCell ref="A7:D7"/>
    <x:mergeCell ref="E7:H7"/>
    <x:mergeCell ref="A8:B8"/>
    <x:mergeCell ref="E8:F8"/>
    <x:mergeCell ref="A9:D9"/>
    <x:mergeCell ref="E9:H9"/>
    <x:mergeCell ref="A10:B10"/>
    <x:mergeCell ref="E10:F10"/>
    <x:mergeCell ref="A11:D11"/>
    <x:mergeCell ref="E11:H11"/>
    <x:mergeCell ref="A12:B12"/>
    <x:mergeCell ref="E12:F12"/>
    <x:mergeCell ref="A13:D13"/>
    <x:mergeCell ref="E13:H13"/>
    <x:mergeCell ref="A16:H16"/>
    <x:mergeCell ref="A18:B18"/>
    <x:mergeCell ref="E18:F18"/>
    <x:mergeCell ref="A19:D19"/>
    <x:mergeCell ref="E19:H19"/>
    <x:mergeCell ref="A20:B20"/>
    <x:mergeCell ref="E20:F20"/>
    <x:mergeCell ref="A21:D21"/>
    <x:mergeCell ref="E21:H21"/>
    <x:mergeCell ref="A22:B22"/>
    <x:mergeCell ref="E22:F22"/>
    <x:mergeCell ref="A23:D23"/>
    <x:mergeCell ref="E23:H23"/>
    <x:mergeCell ref="A24:B24"/>
    <x:mergeCell ref="E24:F24"/>
    <x:mergeCell ref="A25:D25"/>
    <x:mergeCell ref="E25:H25"/>
    <x:mergeCell ref="A28:H28"/>
    <x:mergeCell ref="A30:B30"/>
    <x:mergeCell ref="E30:F30"/>
    <x:mergeCell ref="A31:D31"/>
    <x:mergeCell ref="E31:H31"/>
    <x:mergeCell ref="A32:B32"/>
    <x:mergeCell ref="E32:F32"/>
    <x:mergeCell ref="A33:D33"/>
    <x:mergeCell ref="E33:H33"/>
    <x:mergeCell ref="A34:B34"/>
    <x:mergeCell ref="E34:F34"/>
    <x:mergeCell ref="A35:D35"/>
    <x:mergeCell ref="E35:H35"/>
    <x:mergeCell ref="A36:B36"/>
    <x:mergeCell ref="E36:F36"/>
    <x:mergeCell ref="A37:D37"/>
    <x:mergeCell ref="E37:H37"/>
  </x:mergeCells>
  <x:pageMargins left="0.7" right="0.7" top="0.75" bottom="0.75" header="0.3" footer="0.3"/>
</x:worksheet>
</file>